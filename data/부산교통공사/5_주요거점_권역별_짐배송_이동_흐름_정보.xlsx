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★2026년 업무자료\0. 데이터 업무\★공공데이터\4. 각종 행사\DIVE 2026\2. 참가자 제공 데이터\"/>
    </mc:Choice>
  </mc:AlternateContent>
  <bookViews>
    <workbookView xWindow="0" yWindow="765" windowWidth="34560" windowHeight="21585"/>
  </bookViews>
  <sheets>
    <sheet name="방향별요약" sheetId="1" r:id="rId1"/>
    <sheet name="①거점→숙소" sheetId="2" r:id="rId2"/>
    <sheet name="②숙소→거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F7" i="3"/>
  <c r="E7" i="3"/>
  <c r="D7" i="3"/>
  <c r="C7" i="3"/>
  <c r="B7" i="3"/>
  <c r="H6" i="3"/>
  <c r="H5" i="3"/>
  <c r="H4" i="3"/>
  <c r="G7" i="2"/>
  <c r="F7" i="2"/>
  <c r="E7" i="2"/>
  <c r="D7" i="2"/>
  <c r="C7" i="2"/>
  <c r="B7" i="2"/>
  <c r="H6" i="2"/>
  <c r="H5" i="2"/>
  <c r="H4" i="2"/>
  <c r="H7" i="3" l="1"/>
  <c r="H7" i="2"/>
  <c r="B5" i="1" l="1"/>
</calcChain>
</file>

<file path=xl/sharedStrings.xml><?xml version="1.0" encoding="utf-8"?>
<sst xmlns="http://schemas.openxmlformats.org/spreadsheetml/2006/main" count="51" uniqueCount="34">
  <si>
    <t>해운대·기장</t>
  </si>
  <si>
    <t>① 거점 → 숙소 (짐 배송)  |  2025년 연간 기준  |  전체 건수 기준 비율</t>
  </si>
  <si>
    <t>② 숙소 → 거점 (짐 픽업)  |  2025년 연간 기준  |  전체 건수 기준 비율</t>
  </si>
  <si>
    <t>※ 모든 비율은 전체 건수 기준 (전체 합계 행의 행 합계 = 해당 방향 전체 비율)  |  * 거점 비율: 전체 수요 중 해당 거점 비중  |  노란 셀 입력</t>
  </si>
  <si>
    <t>출발 거점 ↓  /  목적지 권역 →</t>
  </si>
  <si>
    <t>방향별 수요 비율 요약  |  ①②번 시트 자동 집계  |  2025년 연간 기준</t>
  </si>
  <si>
    <t>짐 픽업 (출고)</t>
  </si>
  <si>
    <t>→ 100%이면 정상</t>
  </si>
  <si>
    <t>짐 배송 (입고)</t>
  </si>
  <si>
    <t>원도심(동구·중구)</t>
  </si>
  <si>
    <t>부산항 국제여객터미널</t>
  </si>
  <si>
    <t>광안리</t>
  </si>
  <si>
    <t>해운대역·기장역</t>
  </si>
  <si>
    <t>서면역</t>
  </si>
  <si>
    <t>광안역</t>
  </si>
  <si>
    <t>중앙역</t>
  </si>
  <si>
    <t>전체 비율</t>
  </si>
  <si>
    <t>이동 방향</t>
  </si>
  <si>
    <t>거점 → 숙소</t>
  </si>
  <si>
    <t>거점
비율*</t>
  </si>
  <si>
    <t>숙소 → 거점</t>
  </si>
  <si>
    <t>합계 (검증)</t>
  </si>
  <si>
    <t>김해국제공항</t>
  </si>
  <si>
    <t>서면·부산진구</t>
  </si>
  <si>
    <t>전체 합계</t>
  </si>
  <si>
    <t>행
합계</t>
  </si>
  <si>
    <t>비고</t>
  </si>
  <si>
    <t>기타</t>
  </si>
  <si>
    <t>—</t>
  </si>
  <si>
    <t>부산역</t>
  </si>
  <si>
    <t>※ ①②번 시트의 노란 셀에 비율 입력 시 자동 반영  |  비율은 소수점 입력 (예: 60% → 0.6) 또는 % 서식 적용</t>
  </si>
  <si>
    <r>
      <rPr>
        <b/>
        <sz val="9"/>
        <color rgb="FFFFFFFF"/>
        <rFont val="Malgun Gothic"/>
        <family val="2"/>
        <charset val="129"/>
      </rPr>
      <t>거점</t>
    </r>
    <r>
      <rPr>
        <b/>
        <sz val="9"/>
        <color rgb="FFFFFFFF"/>
        <rFont val="Arial"/>
        <family val="2"/>
      </rPr>
      <t xml:space="preserve">
</t>
    </r>
    <r>
      <rPr>
        <b/>
        <sz val="9"/>
        <color rgb="FFFFFFFF"/>
        <rFont val="Malgun Gothic"/>
        <family val="2"/>
        <charset val="129"/>
      </rPr>
      <t>비율</t>
    </r>
    <r>
      <rPr>
        <b/>
        <sz val="9"/>
        <color rgb="FFFFFFFF"/>
        <rFont val="Arial"/>
        <family val="2"/>
      </rPr>
      <t>*</t>
    </r>
    <phoneticPr fontId="14" type="noConversion"/>
  </si>
  <si>
    <r>
      <rPr>
        <b/>
        <sz val="9"/>
        <color rgb="FFFFFFFF"/>
        <rFont val="Malgun Gothic"/>
        <family val="2"/>
        <charset val="129"/>
      </rPr>
      <t>내국인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비율</t>
    </r>
    <phoneticPr fontId="14" type="noConversion"/>
  </si>
  <si>
    <r>
      <rPr>
        <b/>
        <sz val="9"/>
        <color rgb="FFFFFFFF"/>
        <rFont val="Malgun Gothic"/>
        <family val="2"/>
        <charset val="129"/>
      </rPr>
      <t>외국인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비율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</si>
</sst>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8">
    <font>
      <sz val="11"/>
      <color rgb="FF000000"/>
      <name val="맑은 고딕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4"/>
      <color rgb="FF2E75B6"/>
      <name val="Arial"/>
      <family val="2"/>
    </font>
    <font>
      <sz val="9"/>
      <color rgb="FF595959"/>
      <name val="Arial"/>
      <family val="2"/>
    </font>
    <font>
      <b/>
      <sz val="12"/>
      <color rgb="FF1F4E79"/>
      <name val="Arial"/>
      <family val="2"/>
    </font>
    <font>
      <sz val="10"/>
      <color rgb="FF1F1F1F"/>
      <name val="Arial"/>
      <family val="2"/>
    </font>
    <font>
      <sz val="8"/>
      <color rgb="FF595959"/>
      <name val="Arial"/>
      <family val="2"/>
    </font>
    <font>
      <b/>
      <sz val="10"/>
      <color rgb="FF1F1F1F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i/>
      <sz val="8"/>
      <color rgb="FF595959"/>
      <name val="Arial"/>
      <family val="2"/>
    </font>
    <font>
      <sz val="8"/>
      <color rgb="FF595959"/>
      <name val="Arial"/>
      <family val="2"/>
    </font>
    <font>
      <sz val="8"/>
      <name val="나눔명조"/>
      <family val="3"/>
      <charset val="129"/>
    </font>
    <font>
      <b/>
      <sz val="9"/>
      <color rgb="FFFFFFFF"/>
      <name val="Malgun Gothic"/>
      <family val="2"/>
      <charset val="129"/>
    </font>
    <font>
      <b/>
      <sz val="9"/>
      <color rgb="FFFFFFFF"/>
      <name val="Arial"/>
      <family val="2"/>
      <charset val="129"/>
    </font>
    <font>
      <sz val="11"/>
      <color rgb="FF000000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5F5F5"/>
        <bgColor rgb="FFF5F5F5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28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/>
    </xf>
    <xf numFmtId="176" fontId="6" fillId="7" borderId="1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zoomScale="120" zoomScaleNormal="120" zoomScaleSheetLayoutView="100" workbookViewId="0">
      <selection sqref="A1:E1"/>
    </sheetView>
  </sheetViews>
  <sheetFormatPr defaultColWidth="9" defaultRowHeight="16.5"/>
  <cols>
    <col min="1" max="1" width="22" customWidth="1"/>
    <col min="2" max="4" width="16" customWidth="1"/>
    <col min="5" max="5" width="22" customWidth="1"/>
  </cols>
  <sheetData>
    <row r="1" spans="1:5" ht="24" customHeight="1">
      <c r="A1" s="26" t="s">
        <v>5</v>
      </c>
      <c r="B1" s="26"/>
      <c r="C1" s="26"/>
      <c r="D1" s="26"/>
      <c r="E1" s="26"/>
    </row>
    <row r="2" spans="1:5" ht="18" customHeight="1">
      <c r="A2" s="1" t="s">
        <v>17</v>
      </c>
      <c r="B2" s="1" t="s">
        <v>16</v>
      </c>
      <c r="C2" s="25" t="s">
        <v>32</v>
      </c>
      <c r="D2" s="25" t="s">
        <v>33</v>
      </c>
      <c r="E2" s="1" t="s">
        <v>26</v>
      </c>
    </row>
    <row r="3" spans="1:5" ht="27.95" customHeight="1">
      <c r="A3" s="2" t="s">
        <v>18</v>
      </c>
      <c r="B3" s="3">
        <v>0.56999999999999995</v>
      </c>
      <c r="C3" s="3">
        <v>0.82899999999999996</v>
      </c>
      <c r="D3" s="3">
        <v>0.17100000000000001</v>
      </c>
      <c r="E3" s="4" t="s">
        <v>8</v>
      </c>
    </row>
    <row r="4" spans="1:5" ht="27.95" customHeight="1">
      <c r="A4" s="5" t="s">
        <v>20</v>
      </c>
      <c r="B4" s="6">
        <v>0.43</v>
      </c>
      <c r="C4" s="6">
        <v>0.90300000000000002</v>
      </c>
      <c r="D4" s="6">
        <v>9.7000000000000003E-2</v>
      </c>
      <c r="E4" s="7" t="s">
        <v>6</v>
      </c>
    </row>
    <row r="5" spans="1:5" ht="21.95" customHeight="1">
      <c r="A5" s="8" t="s">
        <v>21</v>
      </c>
      <c r="B5" s="9">
        <f>B3+B4</f>
        <v>1</v>
      </c>
      <c r="C5" s="9"/>
      <c r="D5" s="9"/>
      <c r="E5" s="7" t="s">
        <v>7</v>
      </c>
    </row>
    <row r="7" spans="1:5">
      <c r="A7" s="27" t="s">
        <v>30</v>
      </c>
      <c r="B7" s="27"/>
      <c r="C7" s="27"/>
      <c r="D7" s="27"/>
      <c r="E7" s="27"/>
    </row>
  </sheetData>
  <mergeCells count="2">
    <mergeCell ref="A1:E1"/>
    <mergeCell ref="A7:E7"/>
  </mergeCells>
  <phoneticPr fontId="14" type="noConversion"/>
  <pageMargins left="0.75" right="0.75" top="1" bottom="1" header="0.5" footer="0.5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9"/>
  <sheetViews>
    <sheetView zoomScale="140" zoomScaleNormal="140" zoomScaleSheetLayoutView="100" workbookViewId="0">
      <selection activeCell="A2" sqref="A2"/>
    </sheetView>
  </sheetViews>
  <sheetFormatPr defaultColWidth="9" defaultRowHeight="16.5"/>
  <cols>
    <col min="1" max="1" width="22" customWidth="1"/>
    <col min="2" max="2" width="14.5" customWidth="1"/>
    <col min="3" max="3" width="12.625" customWidth="1"/>
    <col min="4" max="7" width="13" customWidth="1"/>
    <col min="8" max="8" width="10" customWidth="1"/>
  </cols>
  <sheetData>
    <row r="1" spans="1:8" ht="24" customHeight="1">
      <c r="A1" s="26" t="s">
        <v>1</v>
      </c>
      <c r="B1" s="26"/>
      <c r="C1" s="26"/>
      <c r="D1" s="26"/>
      <c r="E1" s="26"/>
      <c r="F1" s="26"/>
      <c r="G1" s="26"/>
      <c r="H1" s="26"/>
    </row>
    <row r="2" spans="1:8" ht="14.1" customHeight="1">
      <c r="A2" s="10"/>
      <c r="B2" s="11"/>
      <c r="C2" s="12" t="s">
        <v>12</v>
      </c>
      <c r="D2" s="12" t="s">
        <v>14</v>
      </c>
      <c r="E2" s="12" t="s">
        <v>13</v>
      </c>
      <c r="F2" s="12" t="s">
        <v>15</v>
      </c>
      <c r="G2" s="13" t="s">
        <v>28</v>
      </c>
      <c r="H2" s="14"/>
    </row>
    <row r="3" spans="1:8" ht="23.25" customHeight="1">
      <c r="A3" s="1" t="s">
        <v>4</v>
      </c>
      <c r="B3" s="22" t="s">
        <v>31</v>
      </c>
      <c r="C3" s="1" t="s">
        <v>0</v>
      </c>
      <c r="D3" s="1" t="s">
        <v>11</v>
      </c>
      <c r="E3" s="1" t="s">
        <v>23</v>
      </c>
      <c r="F3" s="1" t="s">
        <v>9</v>
      </c>
      <c r="G3" s="1" t="s">
        <v>27</v>
      </c>
      <c r="H3" s="16" t="s">
        <v>25</v>
      </c>
    </row>
    <row r="4" spans="1:8" ht="21.95" customHeight="1">
      <c r="A4" s="17" t="s">
        <v>29</v>
      </c>
      <c r="B4" s="23">
        <v>0.82099999999999995</v>
      </c>
      <c r="C4" s="23">
        <v>0.64</v>
      </c>
      <c r="D4" s="23">
        <v>0.23599999999999999</v>
      </c>
      <c r="E4" s="23">
        <v>5.0999999999999997E-2</v>
      </c>
      <c r="F4" s="23">
        <v>1.7999999999999999E-2</v>
      </c>
      <c r="G4" s="23">
        <v>5.5E-2</v>
      </c>
      <c r="H4" s="18">
        <f>SUM(C4:G4)</f>
        <v>1</v>
      </c>
    </row>
    <row r="5" spans="1:8" ht="21.95" customHeight="1">
      <c r="A5" s="17" t="s">
        <v>22</v>
      </c>
      <c r="B5" s="23">
        <v>0.17599999999999999</v>
      </c>
      <c r="C5" s="23">
        <v>0.38300000000000001</v>
      </c>
      <c r="D5" s="23">
        <v>0.105</v>
      </c>
      <c r="E5" s="23">
        <v>0.20499999999999999</v>
      </c>
      <c r="F5" s="23">
        <v>0.248</v>
      </c>
      <c r="G5" s="23">
        <v>5.8999999999999997E-2</v>
      </c>
      <c r="H5" s="18">
        <f>SUM(C5:G5)</f>
        <v>1</v>
      </c>
    </row>
    <row r="6" spans="1:8" ht="21.95" customHeight="1">
      <c r="A6" s="17" t="s">
        <v>10</v>
      </c>
      <c r="B6" s="23">
        <v>3.0000000000000001E-3</v>
      </c>
      <c r="C6" s="23">
        <v>0.27300000000000002</v>
      </c>
      <c r="D6" s="23">
        <v>0.13600000000000001</v>
      </c>
      <c r="E6" s="23">
        <v>0.182</v>
      </c>
      <c r="F6" s="23">
        <v>0.318</v>
      </c>
      <c r="G6" s="23">
        <v>9.0999999999999998E-2</v>
      </c>
      <c r="H6" s="18">
        <f>SUM(C6:G6)</f>
        <v>1</v>
      </c>
    </row>
    <row r="7" spans="1:8" ht="18" customHeight="1">
      <c r="A7" s="19" t="s">
        <v>24</v>
      </c>
      <c r="B7" s="20">
        <f t="shared" ref="B7:H7" si="0">SUM(B4:B6)</f>
        <v>0.99999999999999989</v>
      </c>
      <c r="C7" s="20">
        <f t="shared" si="0"/>
        <v>1.2960000000000003</v>
      </c>
      <c r="D7" s="20">
        <f t="shared" si="0"/>
        <v>0.47699999999999998</v>
      </c>
      <c r="E7" s="20">
        <f t="shared" si="0"/>
        <v>0.438</v>
      </c>
      <c r="F7" s="20">
        <f t="shared" si="0"/>
        <v>0.58400000000000007</v>
      </c>
      <c r="G7" s="20">
        <f t="shared" si="0"/>
        <v>0.20499999999999999</v>
      </c>
      <c r="H7" s="20">
        <f t="shared" si="0"/>
        <v>3</v>
      </c>
    </row>
    <row r="9" spans="1:8">
      <c r="A9" s="27" t="s">
        <v>3</v>
      </c>
      <c r="B9" s="27"/>
      <c r="C9" s="27"/>
      <c r="D9" s="27"/>
      <c r="E9" s="27"/>
      <c r="F9" s="27"/>
      <c r="G9" s="27"/>
      <c r="H9" s="27"/>
    </row>
  </sheetData>
  <mergeCells count="2">
    <mergeCell ref="A1:H1"/>
    <mergeCell ref="A9:H9"/>
  </mergeCells>
  <phoneticPr fontId="14" type="noConversion"/>
  <pageMargins left="0.75" right="0.75" top="1" bottom="1" header="0.5" footer="0.5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9"/>
  <sheetViews>
    <sheetView zoomScale="130" zoomScaleNormal="130" zoomScaleSheetLayoutView="100" workbookViewId="0">
      <selection activeCell="E12" sqref="E12"/>
    </sheetView>
  </sheetViews>
  <sheetFormatPr defaultColWidth="9" defaultRowHeight="16.5"/>
  <cols>
    <col min="1" max="1" width="22" customWidth="1"/>
    <col min="2" max="2" width="10" customWidth="1"/>
    <col min="3" max="7" width="13" customWidth="1"/>
    <col min="8" max="8" width="10" customWidth="1"/>
  </cols>
  <sheetData>
    <row r="1" spans="1:8" ht="24" customHeight="1">
      <c r="A1" s="26" t="s">
        <v>2</v>
      </c>
      <c r="B1" s="26"/>
      <c r="C1" s="26"/>
      <c r="D1" s="26"/>
      <c r="E1" s="26"/>
      <c r="F1" s="26"/>
      <c r="G1" s="26"/>
      <c r="H1" s="26"/>
    </row>
    <row r="2" spans="1:8" ht="14.1" customHeight="1">
      <c r="A2" s="10"/>
      <c r="B2" s="11"/>
      <c r="C2" s="21" t="s">
        <v>12</v>
      </c>
      <c r="D2" s="21" t="s">
        <v>14</v>
      </c>
      <c r="E2" s="21" t="s">
        <v>13</v>
      </c>
      <c r="F2" s="21" t="s">
        <v>15</v>
      </c>
      <c r="G2" s="13" t="s">
        <v>28</v>
      </c>
      <c r="H2" s="14"/>
    </row>
    <row r="3" spans="1:8" ht="20.100000000000001" customHeight="1">
      <c r="A3" s="1" t="s">
        <v>4</v>
      </c>
      <c r="B3" s="15" t="s">
        <v>19</v>
      </c>
      <c r="C3" s="1" t="s">
        <v>0</v>
      </c>
      <c r="D3" s="1" t="s">
        <v>11</v>
      </c>
      <c r="E3" s="1" t="s">
        <v>23</v>
      </c>
      <c r="F3" s="1" t="s">
        <v>9</v>
      </c>
      <c r="G3" s="1" t="s">
        <v>27</v>
      </c>
      <c r="H3" s="16" t="s">
        <v>25</v>
      </c>
    </row>
    <row r="4" spans="1:8" ht="21.95" customHeight="1">
      <c r="A4" s="17" t="s">
        <v>29</v>
      </c>
      <c r="B4" s="24">
        <v>0.82899999999999996</v>
      </c>
      <c r="C4" s="24">
        <v>0.66500000000000004</v>
      </c>
      <c r="D4" s="24">
        <v>0.22800000000000001</v>
      </c>
      <c r="E4" s="24">
        <v>4.9000000000000002E-2</v>
      </c>
      <c r="F4" s="24">
        <v>1.2999999999999999E-2</v>
      </c>
      <c r="G4" s="24">
        <v>4.4999999999999998E-2</v>
      </c>
      <c r="H4" s="18">
        <f>SUM(C4:G4)</f>
        <v>1</v>
      </c>
    </row>
    <row r="5" spans="1:8" ht="21.95" customHeight="1">
      <c r="A5" s="17" t="s">
        <v>22</v>
      </c>
      <c r="B5" s="24">
        <v>0.161</v>
      </c>
      <c r="C5" s="24">
        <v>0.49</v>
      </c>
      <c r="D5" s="24">
        <v>0.156</v>
      </c>
      <c r="E5" s="24">
        <v>0.16600000000000001</v>
      </c>
      <c r="F5" s="24">
        <v>0.13600000000000001</v>
      </c>
      <c r="G5" s="24">
        <v>5.1999999999999998E-2</v>
      </c>
      <c r="H5" s="18">
        <f>SUM(C5:G5)</f>
        <v>1</v>
      </c>
    </row>
    <row r="6" spans="1:8" ht="21.95" customHeight="1">
      <c r="A6" s="17" t="s">
        <v>10</v>
      </c>
      <c r="B6" s="24">
        <v>0.01</v>
      </c>
      <c r="C6" s="24">
        <v>0.44600000000000001</v>
      </c>
      <c r="D6" s="24">
        <v>4.5999999999999999E-2</v>
      </c>
      <c r="E6" s="24">
        <v>0.26200000000000001</v>
      </c>
      <c r="F6" s="24">
        <v>0.2</v>
      </c>
      <c r="G6" s="24">
        <v>4.5999999999999999E-2</v>
      </c>
      <c r="H6" s="18">
        <f>SUM(C6:G6)</f>
        <v>1</v>
      </c>
    </row>
    <row r="7" spans="1:8" ht="18" customHeight="1">
      <c r="A7" s="19" t="s">
        <v>24</v>
      </c>
      <c r="B7" s="20">
        <f t="shared" ref="B7:H7" si="0">SUM(B4:B6)</f>
        <v>1</v>
      </c>
      <c r="C7" s="20">
        <f t="shared" si="0"/>
        <v>1.601</v>
      </c>
      <c r="D7" s="20">
        <f t="shared" si="0"/>
        <v>0.43</v>
      </c>
      <c r="E7" s="20">
        <f t="shared" si="0"/>
        <v>0.47700000000000004</v>
      </c>
      <c r="F7" s="20">
        <f t="shared" si="0"/>
        <v>0.34900000000000003</v>
      </c>
      <c r="G7" s="20">
        <f t="shared" si="0"/>
        <v>0.14300000000000002</v>
      </c>
      <c r="H7" s="20">
        <f t="shared" si="0"/>
        <v>3</v>
      </c>
    </row>
    <row r="9" spans="1:8">
      <c r="A9" s="27" t="s">
        <v>3</v>
      </c>
      <c r="B9" s="27"/>
      <c r="C9" s="27"/>
      <c r="D9" s="27"/>
      <c r="E9" s="27"/>
      <c r="F9" s="27"/>
      <c r="G9" s="27"/>
      <c r="H9" s="27"/>
    </row>
  </sheetData>
  <mergeCells count="2">
    <mergeCell ref="A1:H1"/>
    <mergeCell ref="A9:H9"/>
  </mergeCells>
  <phoneticPr fontId="14" type="noConversion"/>
  <pageMargins left="0.75" right="0.75" top="1" bottom="1" header="0.5" footer="0.5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방향별요약</vt:lpstr>
      <vt:lpstr>①거점→숙소</vt:lpstr>
      <vt:lpstr>②숙소→거점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2026-07-01T07:51:04Z</dcterms:created>
  <dcterms:modified xsi:type="dcterms:W3CDTF">2026-07-03T04:57:23Z</dcterms:modified>
  <cp:version>1300.0100.01</cp:version>
</cp:coreProperties>
</file>